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5DC90167-F3E6-4E94-8AFA-D86ED3269BE5}" xr6:coauthVersionLast="47" xr6:coauthVersionMax="47" xr10:uidLastSave="{00000000-0000-0000-0000-000000000000}"/>
  <bookViews>
    <workbookView xWindow="-120" yWindow="-120" windowWidth="29040" windowHeight="15720" activeTab="3" xr2:uid="{0E8B8341-8229-4E22-8B22-7CE75661684A}"/>
  </bookViews>
  <sheets>
    <sheet name="Sheet3" sheetId="3" r:id="rId1"/>
    <sheet name="Sheet2" sheetId="2" r:id="rId2"/>
    <sheet name="Sheet4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<sst xmlns="http://schemas.openxmlformats.org/spreadsheetml/2006/main" count="87" uniqueCount="59">
  <si>
    <t>sl.no</t>
  </si>
  <si>
    <t>name</t>
  </si>
  <si>
    <t>class</t>
  </si>
  <si>
    <t>vivek</t>
  </si>
  <si>
    <t>dg</t>
  </si>
  <si>
    <t>dgfd</t>
  </si>
  <si>
    <t>fgdh</t>
  </si>
  <si>
    <t>bth</t>
  </si>
  <si>
    <t>hyhj</t>
  </si>
  <si>
    <t>Column1</t>
  </si>
  <si>
    <t>mean</t>
  </si>
  <si>
    <t>median</t>
  </si>
  <si>
    <t>mode</t>
  </si>
  <si>
    <t>range</t>
  </si>
  <si>
    <t>variance</t>
  </si>
  <si>
    <t>corelation</t>
  </si>
  <si>
    <t>covariance</t>
  </si>
  <si>
    <t>allsubmarks</t>
  </si>
  <si>
    <t>math marks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</si>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</sst>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8560185185185185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math 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Sheet1!$D$2:$D$7</c:f>
              <c:numCache>
                <c:formatCode>General</c:formatCode>
                <c:ptCount val="6"/>
                <c:pt idx="0">
                  <c:v>45</c:v>
                </c:pt>
                <c:pt idx="1">
                  <c:v>78</c:v>
                </c:pt>
                <c:pt idx="2">
                  <c:v>66</c:v>
                </c:pt>
                <c:pt idx="3">
                  <c:v>55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2-44AC-9271-AA6CA5831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92038495188102E-2"/>
          <c:y val="5.5555555555555552E-2"/>
          <c:w val="0.90286351706036749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math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Sheet1!$D$2:$D$7</c:f>
              <c:numCache>
                <c:formatCode>General</c:formatCode>
                <c:ptCount val="6"/>
                <c:pt idx="0">
                  <c:v>45</c:v>
                </c:pt>
                <c:pt idx="1">
                  <c:v>78</c:v>
                </c:pt>
                <c:pt idx="2">
                  <c:v>66</c:v>
                </c:pt>
                <c:pt idx="3">
                  <c:v>55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7-4654-8075-EC3C7209A5E7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allsubmarks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Sheet1!$E$2:$E$7</c:f>
              <c:numCache>
                <c:formatCode>General</c:formatCode>
                <c:ptCount val="6"/>
                <c:pt idx="0">
                  <c:v>36</c:v>
                </c:pt>
                <c:pt idx="1">
                  <c:v>58</c:v>
                </c:pt>
                <c:pt idx="2">
                  <c:v>49</c:v>
                </c:pt>
                <c:pt idx="3">
                  <c:v>68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7-4654-8075-EC3C7209A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056959"/>
        <c:axId val="272058879"/>
      </c:barChart>
      <c:catAx>
        <c:axId val="2720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58879"/>
        <c:crosses val="autoZero"/>
        <c:auto val="1"/>
        <c:lblAlgn val="ctr"/>
        <c:lblOffset val="100"/>
        <c:noMultiLvlLbl val="0"/>
      </c:catAx>
      <c:valAx>
        <c:axId val="27205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5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</xdr:row>
      <xdr:rowOff>14286</xdr:rowOff>
    </xdr:from>
    <xdr:to>
      <xdr:col>12</xdr:col>
      <xdr:colOff>647700</xdr:colOff>
      <xdr:row>17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11439C-73BB-9AA8-B345-C0F75AF4B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1190625</xdr:colOff>
      <xdr:row>2</xdr:row>
      <xdr:rowOff>19051</xdr:rowOff>
    </xdr:from>
    <xdr:to>
      <xdr:col>19</xdr:col>
      <xdr:colOff>104775</xdr:colOff>
      <xdr:row>17</xdr:row>
      <xdr:rowOff>9526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2E2722F-98BC-BDA9-E18A-F0EEE9D6C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824B5-8EFB-46C4-A5D8-FFDCA4CC1F04}" name="Table1" displayName="Table1" ref="A1:E8" totalsRowCount="1">
  <autoFilter ref="A1:E7" xr:uid="{D17824B5-8EFB-46C4-A5D8-FFDCA4CC1F04}"/>
  <tableColumns count="5">
    <tableColumn id="1" xr3:uid="{01405835-7CF1-44D5-9BC5-8894F8AA47A6}" name="sl.no"/>
    <tableColumn id="2" xr3:uid="{82D9E13A-A8BF-4B3F-872A-132BB5F8D389}" name="name"/>
    <tableColumn id="3" xr3:uid="{DAD69D18-560C-4B73-BABD-12836162E201}" name="class"/>
    <tableColumn id="5" xr3:uid="{A0144D09-5EC5-4639-85C7-EDC480BBC595}" name="math marks" totalsRowFunction="custom">
      <totalsRowFormula>AVERAGE(Table1[math marks])</totalsRowFormula>
    </tableColumn>
    <tableColumn id="7" xr3:uid="{063FDF44-D25F-4965-8827-1366B1CE3DD8}" name="allsubmarks" totalsRowLabel="m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C816-84D9-4BE1-B07F-58785D957059}">
  <dimension ref="A1"/>
  <sheetViews>
    <sheetView workbookViewId="0">
      <selection sqref="A1:B1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91C6-0680-4001-9C39-E35716107CCD}">
  <dimension ref="A1:I18"/>
  <sheetViews>
    <sheetView workbookViewId="0">
      <selection sqref="A1:I18"/>
    </sheetView>
  </sheetViews>
  <sheetFormatPr defaultRowHeight="15" x14ac:dyDescent="0.25"/>
  <cols>
    <col min="1" max="1" width="16" customWidth="1"/>
    <col min="2" max="2" width="19.28515625" customWidth="1"/>
    <col min="3" max="3" width="23" customWidth="1"/>
    <col min="4" max="4" width="20.5703125" customWidth="1"/>
    <col min="5" max="5" width="26" customWidth="1"/>
    <col min="6" max="6" width="18.7109375" customWidth="1"/>
    <col min="7" max="7" width="24" customWidth="1"/>
    <col min="8" max="8" width="24.85546875" customWidth="1"/>
    <col min="9" max="9" width="23.5703125" customWidth="1"/>
  </cols>
  <sheetData>
    <row r="1" spans="1:9" x14ac:dyDescent="0.25">
      <c r="A1" t="s">
        <v>19</v>
      </c>
    </row>
    <row r="2" spans="1:9" ht="15.75" thickBot="1" x14ac:dyDescent="0.3"/>
    <row r="3" spans="1:9" x14ac:dyDescent="0.25">
      <c r="A3" s="4" t="s">
        <v>20</v>
      </c>
      <c r="B3" s="4"/>
    </row>
    <row r="4" spans="1:9" x14ac:dyDescent="0.25">
      <c r="A4" s="1" t="s">
        <v>21</v>
      </c>
      <c r="B4" s="1">
        <v>0.66461034785118178</v>
      </c>
    </row>
    <row r="5" spans="1:9" x14ac:dyDescent="0.25">
      <c r="A5" s="1" t="s">
        <v>22</v>
      </c>
      <c r="B5" s="1">
        <v>0.44170691447086891</v>
      </c>
    </row>
    <row r="6" spans="1:9" x14ac:dyDescent="0.25">
      <c r="A6" s="1" t="s">
        <v>23</v>
      </c>
      <c r="B6" s="1">
        <v>0.30213364308858615</v>
      </c>
    </row>
    <row r="7" spans="1:9" x14ac:dyDescent="0.25">
      <c r="A7" s="1" t="s">
        <v>24</v>
      </c>
      <c r="B7" s="1">
        <v>11.762807333440275</v>
      </c>
    </row>
    <row r="8" spans="1:9" ht="15.75" thickBot="1" x14ac:dyDescent="0.3">
      <c r="A8" s="2" t="s">
        <v>25</v>
      </c>
      <c r="B8" s="2">
        <v>6</v>
      </c>
    </row>
    <row r="10" spans="1:9" ht="15.75" thickBot="1" x14ac:dyDescent="0.3">
      <c r="A10" t="s">
        <v>26</v>
      </c>
    </row>
    <row r="11" spans="1:9" x14ac:dyDescent="0.25">
      <c r="A11" s="3"/>
      <c r="B11" s="3" t="s">
        <v>31</v>
      </c>
      <c r="C11" s="3" t="s">
        <v>32</v>
      </c>
      <c r="D11" s="3" t="s">
        <v>33</v>
      </c>
      <c r="E11" s="3" t="s">
        <v>34</v>
      </c>
      <c r="F11" s="3" t="s">
        <v>35</v>
      </c>
    </row>
    <row r="12" spans="1:9" x14ac:dyDescent="0.25">
      <c r="A12" s="1" t="s">
        <v>27</v>
      </c>
      <c r="B12" s="1">
        <v>1</v>
      </c>
      <c r="C12" s="1">
        <v>437.87878787878799</v>
      </c>
      <c r="D12" s="1">
        <v>437.87878787878799</v>
      </c>
      <c r="E12" s="1">
        <v>3.1646955759964976</v>
      </c>
      <c r="F12" s="1">
        <v>0.14986597126060541</v>
      </c>
    </row>
    <row r="13" spans="1:9" x14ac:dyDescent="0.25">
      <c r="A13" s="1" t="s">
        <v>28</v>
      </c>
      <c r="B13" s="1">
        <v>4</v>
      </c>
      <c r="C13" s="1">
        <v>553.45454545454527</v>
      </c>
      <c r="D13" s="1">
        <v>138.36363636363632</v>
      </c>
      <c r="E13" s="1"/>
      <c r="F13" s="1"/>
    </row>
    <row r="14" spans="1:9" ht="15.75" thickBot="1" x14ac:dyDescent="0.3">
      <c r="A14" s="2" t="s">
        <v>29</v>
      </c>
      <c r="B14" s="2">
        <v>5</v>
      </c>
      <c r="C14" s="2">
        <v>991.33333333333326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36</v>
      </c>
      <c r="C16" s="3" t="s">
        <v>24</v>
      </c>
      <c r="D16" s="3" t="s">
        <v>37</v>
      </c>
      <c r="E16" s="3" t="s">
        <v>38</v>
      </c>
      <c r="F16" s="3" t="s">
        <v>39</v>
      </c>
      <c r="G16" s="3" t="s">
        <v>40</v>
      </c>
      <c r="H16" s="3" t="s">
        <v>41</v>
      </c>
      <c r="I16" s="3" t="s">
        <v>42</v>
      </c>
    </row>
    <row r="17" spans="1:9" x14ac:dyDescent="0.25">
      <c r="A17" s="1" t="s">
        <v>30</v>
      </c>
      <c r="B17" s="1">
        <v>95</v>
      </c>
      <c r="C17" s="1">
        <v>16.635121662532935</v>
      </c>
      <c r="D17" s="1">
        <v>5.7108088493255353</v>
      </c>
      <c r="E17" s="1">
        <v>4.6496235988880584E-3</v>
      </c>
      <c r="F17" s="1">
        <v>48.813497885690651</v>
      </c>
      <c r="G17" s="1">
        <v>141.18650211430935</v>
      </c>
      <c r="H17" s="1">
        <v>48.813497885690651</v>
      </c>
      <c r="I17" s="1">
        <v>141.18650211430935</v>
      </c>
    </row>
    <row r="18" spans="1:9" ht="15.75" thickBot="1" x14ac:dyDescent="0.3">
      <c r="A18" s="2" t="s">
        <v>43</v>
      </c>
      <c r="B18" s="2">
        <v>-7.7272727272727266</v>
      </c>
      <c r="C18" s="2">
        <v>4.3437044783273775</v>
      </c>
      <c r="D18" s="2">
        <v>-1.7789591271292595</v>
      </c>
      <c r="E18" s="2">
        <v>0.14986597126060541</v>
      </c>
      <c r="F18" s="2">
        <v>-19.787329764550506</v>
      </c>
      <c r="G18" s="2">
        <v>4.3327843100050547</v>
      </c>
      <c r="H18" s="2">
        <v>-19.787329764550506</v>
      </c>
      <c r="I18" s="2">
        <v>4.3327843100050547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EFF0-858C-46F9-94E5-11F8336C47B4}">
  <dimension ref="A1"/>
  <sheetViews>
    <sheetView workbookViewId="0">
      <selection sqref="A1:B18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8B53-E980-4D8B-92B3-A9A2493BB5BF}">
  <dimension ref="A1:Q39"/>
  <sheetViews>
    <sheetView tabSelected="1" topLeftCell="A4" workbookViewId="0">
      <selection activeCell="R20" sqref="R20"/>
    </sheetView>
  </sheetViews>
  <sheetFormatPr defaultRowHeight="15" x14ac:dyDescent="0.25"/>
  <cols>
    <col min="5" max="5" width="25.5703125" customWidth="1"/>
    <col min="9" max="9" width="17.7109375" customWidth="1"/>
    <col min="10" max="10" width="17.140625" customWidth="1"/>
    <col min="11" max="11" width="18.5703125" customWidth="1"/>
    <col min="12" max="12" width="17.85546875" customWidth="1"/>
    <col min="13" max="13" width="21.28515625" customWidth="1"/>
    <col min="14" max="14" width="17.85546875" customWidth="1"/>
    <col min="15" max="17" width="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18</v>
      </c>
      <c r="E1" t="s">
        <v>17</v>
      </c>
    </row>
    <row r="2" spans="1:5" x14ac:dyDescent="0.25">
      <c r="A2">
        <v>1</v>
      </c>
      <c r="B2" t="s">
        <v>3</v>
      </c>
      <c r="C2">
        <v>4</v>
      </c>
      <c r="D2">
        <v>45</v>
      </c>
      <c r="E2">
        <v>36</v>
      </c>
    </row>
    <row r="3" spans="1:5" x14ac:dyDescent="0.25">
      <c r="A3">
        <v>2</v>
      </c>
      <c r="B3" t="s">
        <v>4</v>
      </c>
      <c r="C3">
        <v>3</v>
      </c>
      <c r="D3">
        <v>78</v>
      </c>
      <c r="E3">
        <v>58</v>
      </c>
    </row>
    <row r="4" spans="1:5" x14ac:dyDescent="0.25">
      <c r="A4">
        <v>3</v>
      </c>
      <c r="B4" t="s">
        <v>5</v>
      </c>
      <c r="C4">
        <v>3</v>
      </c>
      <c r="D4">
        <v>66</v>
      </c>
      <c r="E4">
        <v>49</v>
      </c>
    </row>
    <row r="5" spans="1:5" x14ac:dyDescent="0.25">
      <c r="A5">
        <v>4</v>
      </c>
      <c r="B5" t="s">
        <v>6</v>
      </c>
      <c r="C5">
        <v>6</v>
      </c>
      <c r="D5">
        <v>55</v>
      </c>
      <c r="E5">
        <v>68</v>
      </c>
    </row>
    <row r="6" spans="1:5" x14ac:dyDescent="0.25">
      <c r="A6">
        <v>5</v>
      </c>
      <c r="B6" t="s">
        <v>7</v>
      </c>
      <c r="C6">
        <v>3</v>
      </c>
      <c r="D6">
        <v>78</v>
      </c>
      <c r="E6">
        <v>78</v>
      </c>
    </row>
    <row r="7" spans="1:5" x14ac:dyDescent="0.25">
      <c r="A7">
        <v>6</v>
      </c>
      <c r="B7" t="s">
        <v>8</v>
      </c>
      <c r="C7">
        <v>3</v>
      </c>
      <c r="D7">
        <v>78</v>
      </c>
      <c r="E7">
        <v>78</v>
      </c>
    </row>
    <row r="8" spans="1:5" x14ac:dyDescent="0.25">
      <c r="D8">
        <f>AVERAGE(Table1[math marks])</f>
        <v>66.666666666666671</v>
      </c>
      <c r="E8" t="s">
        <v>10</v>
      </c>
    </row>
    <row r="9" spans="1:5" x14ac:dyDescent="0.25">
      <c r="D9">
        <f>MEDIAN(Table1[math marks])</f>
        <v>72</v>
      </c>
      <c r="E9" t="s">
        <v>11</v>
      </c>
    </row>
    <row r="10" spans="1:5" x14ac:dyDescent="0.25">
      <c r="D10">
        <f>_xlfn.MODE.SNGL(Table1[math marks])</f>
        <v>78</v>
      </c>
      <c r="E10" t="s">
        <v>12</v>
      </c>
    </row>
    <row r="11" spans="1:5" x14ac:dyDescent="0.25">
      <c r="D11">
        <f>MAX(Table1[math marks])-MIN(Table1[math marks])</f>
        <v>33</v>
      </c>
      <c r="E11" t="s">
        <v>13</v>
      </c>
    </row>
    <row r="12" spans="1:5" x14ac:dyDescent="0.25">
      <c r="D12">
        <f>_xlfn.VAR.S(Table1[math marks])</f>
        <v>198.26666666666642</v>
      </c>
      <c r="E12" t="s">
        <v>14</v>
      </c>
    </row>
    <row r="13" spans="1:5" x14ac:dyDescent="0.25">
      <c r="D13">
        <f>_xlfn.COVARIANCE.P(Table1[math marks],Table1[class])</f>
        <v>-9.4444444444444446</v>
      </c>
      <c r="E13" t="s">
        <v>16</v>
      </c>
    </row>
    <row r="14" spans="1:5" x14ac:dyDescent="0.25">
      <c r="D14">
        <f>CORREL(Table1[math marks],Table1[class])</f>
        <v>-0.66461034785118178</v>
      </c>
      <c r="E14" t="s">
        <v>15</v>
      </c>
    </row>
    <row r="17" spans="4:14" ht="15.75" thickBot="1" x14ac:dyDescent="0.3"/>
    <row r="18" spans="4:14" x14ac:dyDescent="0.25">
      <c r="E18" s="4" t="s">
        <v>9</v>
      </c>
      <c r="F18" s="4"/>
    </row>
    <row r="19" spans="4:14" x14ac:dyDescent="0.25">
      <c r="E19" s="1"/>
      <c r="F19" s="1"/>
    </row>
    <row r="20" spans="4:14" ht="15.75" thickBot="1" x14ac:dyDescent="0.3">
      <c r="E20" s="1" t="s">
        <v>44</v>
      </c>
      <c r="F20" s="1">
        <v>57.8</v>
      </c>
    </row>
    <row r="21" spans="4:14" x14ac:dyDescent="0.25">
      <c r="D21" s="4"/>
      <c r="E21" s="1" t="s">
        <v>24</v>
      </c>
      <c r="F21" s="1">
        <v>7.2965745387818766</v>
      </c>
    </row>
    <row r="22" spans="4:14" x14ac:dyDescent="0.25">
      <c r="D22" s="1"/>
      <c r="E22" s="1" t="s">
        <v>45</v>
      </c>
      <c r="F22" s="1">
        <v>58</v>
      </c>
      <c r="I22" t="s">
        <v>19</v>
      </c>
    </row>
    <row r="23" spans="4:14" ht="15.75" thickBot="1" x14ac:dyDescent="0.3">
      <c r="D23" s="1"/>
      <c r="E23" s="1" t="s">
        <v>46</v>
      </c>
      <c r="F23" s="1">
        <v>3</v>
      </c>
    </row>
    <row r="24" spans="4:14" x14ac:dyDescent="0.25">
      <c r="D24" s="1"/>
      <c r="E24" s="1" t="s">
        <v>47</v>
      </c>
      <c r="F24" s="1">
        <v>16.315636671610452</v>
      </c>
      <c r="I24" s="4" t="s">
        <v>20</v>
      </c>
      <c r="J24" s="4"/>
    </row>
    <row r="25" spans="4:14" x14ac:dyDescent="0.25">
      <c r="D25" s="1"/>
      <c r="E25" s="1" t="s">
        <v>48</v>
      </c>
      <c r="F25" s="1">
        <v>266.2</v>
      </c>
      <c r="I25" s="1" t="s">
        <v>21</v>
      </c>
      <c r="J25" s="1">
        <v>0.66461034785118178</v>
      </c>
    </row>
    <row r="26" spans="4:14" x14ac:dyDescent="0.25">
      <c r="D26" s="1"/>
      <c r="E26" s="1" t="s">
        <v>49</v>
      </c>
      <c r="F26" s="1">
        <v>-0.78230159729187942</v>
      </c>
      <c r="I26" s="1" t="s">
        <v>22</v>
      </c>
      <c r="J26" s="1">
        <v>0.44170691447086891</v>
      </c>
    </row>
    <row r="27" spans="4:14" x14ac:dyDescent="0.25">
      <c r="D27" s="1"/>
      <c r="E27" s="1" t="s">
        <v>50</v>
      </c>
      <c r="F27" s="1">
        <v>-0.16674255187346398</v>
      </c>
      <c r="I27" s="1" t="s">
        <v>23</v>
      </c>
      <c r="J27" s="1">
        <v>0.30213364308858615</v>
      </c>
    </row>
    <row r="28" spans="4:14" x14ac:dyDescent="0.25">
      <c r="D28" s="1"/>
      <c r="E28" s="1" t="s">
        <v>51</v>
      </c>
      <c r="F28" s="1">
        <v>42</v>
      </c>
      <c r="I28" s="1" t="s">
        <v>24</v>
      </c>
      <c r="J28" s="1">
        <v>11.762807333440275</v>
      </c>
    </row>
    <row r="29" spans="4:14" ht="15.75" thickBot="1" x14ac:dyDescent="0.3">
      <c r="D29" s="1"/>
      <c r="E29" s="1" t="s">
        <v>52</v>
      </c>
      <c r="F29" s="1">
        <v>36</v>
      </c>
      <c r="I29" s="2" t="s">
        <v>25</v>
      </c>
      <c r="J29" s="2">
        <v>6</v>
      </c>
    </row>
    <row r="30" spans="4:14" x14ac:dyDescent="0.25">
      <c r="D30" s="1"/>
      <c r="E30" s="1" t="s">
        <v>53</v>
      </c>
      <c r="F30" s="1">
        <v>78</v>
      </c>
    </row>
    <row r="31" spans="4:14" ht="15.75" thickBot="1" x14ac:dyDescent="0.3">
      <c r="D31" s="1"/>
      <c r="E31" s="1" t="s">
        <v>54</v>
      </c>
      <c r="F31" s="1">
        <v>289</v>
      </c>
      <c r="I31" t="s">
        <v>26</v>
      </c>
    </row>
    <row r="32" spans="4:14" x14ac:dyDescent="0.25">
      <c r="D32" s="1"/>
      <c r="E32" s="1" t="s">
        <v>55</v>
      </c>
      <c r="F32" s="1">
        <v>5</v>
      </c>
      <c r="I32" s="3"/>
      <c r="J32" s="3" t="s">
        <v>31</v>
      </c>
      <c r="K32" s="3" t="s">
        <v>32</v>
      </c>
      <c r="L32" s="3" t="s">
        <v>33</v>
      </c>
      <c r="M32" s="3" t="s">
        <v>34</v>
      </c>
      <c r="N32" s="3" t="s">
        <v>35</v>
      </c>
    </row>
    <row r="33" spans="4:17" x14ac:dyDescent="0.25">
      <c r="D33" s="1"/>
      <c r="E33" s="1" t="s">
        <v>56</v>
      </c>
      <c r="F33" s="1">
        <v>78</v>
      </c>
      <c r="I33" s="1" t="s">
        <v>27</v>
      </c>
      <c r="J33" s="1">
        <v>1</v>
      </c>
      <c r="K33" s="1">
        <v>437.87878787878799</v>
      </c>
      <c r="L33" s="1">
        <v>437.87878787878799</v>
      </c>
      <c r="M33" s="1">
        <v>3.1646955759964976</v>
      </c>
      <c r="N33" s="1">
        <v>0.14986597126060541</v>
      </c>
    </row>
    <row r="34" spans="4:17" x14ac:dyDescent="0.25">
      <c r="D34" s="1"/>
      <c r="E34" s="1" t="s">
        <v>57</v>
      </c>
      <c r="F34" s="1">
        <v>36</v>
      </c>
      <c r="I34" s="1" t="s">
        <v>28</v>
      </c>
      <c r="J34" s="1">
        <v>4</v>
      </c>
      <c r="K34" s="1">
        <v>553.45454545454527</v>
      </c>
      <c r="L34" s="1">
        <v>138.36363636363632</v>
      </c>
      <c r="M34" s="1"/>
      <c r="N34" s="1"/>
    </row>
    <row r="35" spans="4:17" ht="15.75" thickBot="1" x14ac:dyDescent="0.3">
      <c r="D35" s="2"/>
      <c r="E35" s="2" t="s">
        <v>58</v>
      </c>
      <c r="F35" s="2">
        <v>20.258538662911786</v>
      </c>
      <c r="I35" s="2" t="s">
        <v>29</v>
      </c>
      <c r="J35" s="2">
        <v>5</v>
      </c>
      <c r="K35" s="2">
        <v>991.33333333333326</v>
      </c>
      <c r="L35" s="2"/>
      <c r="M35" s="2"/>
      <c r="N35" s="2"/>
    </row>
    <row r="36" spans="4:17" ht="15.75" thickBot="1" x14ac:dyDescent="0.3"/>
    <row r="37" spans="4:17" x14ac:dyDescent="0.25">
      <c r="I37" s="3"/>
      <c r="J37" s="3" t="s">
        <v>36</v>
      </c>
      <c r="K37" s="3" t="s">
        <v>24</v>
      </c>
      <c r="L37" s="3" t="s">
        <v>37</v>
      </c>
      <c r="M37" s="3" t="s">
        <v>38</v>
      </c>
      <c r="N37" s="3" t="s">
        <v>39</v>
      </c>
      <c r="O37" s="3" t="s">
        <v>40</v>
      </c>
      <c r="P37" s="3" t="s">
        <v>41</v>
      </c>
      <c r="Q37" s="3" t="s">
        <v>42</v>
      </c>
    </row>
    <row r="38" spans="4:17" x14ac:dyDescent="0.25">
      <c r="I38" s="1" t="s">
        <v>30</v>
      </c>
      <c r="J38" s="1">
        <v>95</v>
      </c>
      <c r="K38" s="1">
        <v>16.635121662532935</v>
      </c>
      <c r="L38" s="1">
        <v>5.7108088493255353</v>
      </c>
      <c r="M38" s="1">
        <v>4.6496235988880584E-3</v>
      </c>
      <c r="N38" s="1">
        <v>48.813497885690651</v>
      </c>
      <c r="O38" s="1">
        <v>141.18650211430935</v>
      </c>
      <c r="P38" s="1">
        <v>48.813497885690651</v>
      </c>
      <c r="Q38" s="1">
        <v>141.18650211430935</v>
      </c>
    </row>
    <row r="39" spans="4:17" ht="15.75" thickBot="1" x14ac:dyDescent="0.3">
      <c r="I39" s="2" t="s">
        <v>43</v>
      </c>
      <c r="J39" s="2">
        <v>-7.7272727272727266</v>
      </c>
      <c r="K39" s="2">
        <v>4.3437044783273775</v>
      </c>
      <c r="L39" s="2">
        <v>-1.7789591271292595</v>
      </c>
      <c r="M39" s="2">
        <v>0.14986597126060541</v>
      </c>
      <c r="N39" s="2">
        <v>-19.787329764550506</v>
      </c>
      <c r="O39" s="2">
        <v>4.3327843100050547</v>
      </c>
      <c r="P39" s="2">
        <v>-19.787329764550506</v>
      </c>
      <c r="Q39" s="2">
        <v>4.3327843100050547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23691a32j1</dc:creator>
  <cp:lastModifiedBy>23691A32J1@mits.com</cp:lastModifiedBy>
  <dcterms:created xsi:type="dcterms:W3CDTF">2026-05-26T08:39:22Z</dcterms:created>
  <dcterms:modified xsi:type="dcterms:W3CDTF">2026-05-26T10:27:25Z</dcterms:modified>
</cp:coreProperties>
</file>